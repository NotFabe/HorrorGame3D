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an\Desktop\itp\"/>
    </mc:Choice>
  </mc:AlternateContent>
  <xr:revisionPtr revIDLastSave="0" documentId="8_{D6933298-C795-43A1-A253-A5A13FE9C9D1}" xr6:coauthVersionLast="47" xr6:coauthVersionMax="47" xr10:uidLastSave="{00000000-0000-0000-0000-000000000000}"/>
  <bookViews>
    <workbookView xWindow="38280" yWindow="-120" windowWidth="38640" windowHeight="21240" xr2:uid="{5C77D34F-34C3-4D2F-849C-09193AE86D67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16" i="1"/>
  <c r="E34" i="1"/>
  <c r="G34" i="1"/>
  <c r="F34" i="1"/>
  <c r="A34" i="1"/>
</calcChain>
</file>

<file path=xl/sharedStrings.xml><?xml version="1.0" encoding="utf-8"?>
<sst xmlns="http://schemas.openxmlformats.org/spreadsheetml/2006/main" count="126" uniqueCount="104">
  <si>
    <t>Sprint Review Protocol</t>
  </si>
  <si>
    <t>Sprint No:</t>
  </si>
  <si>
    <t>Date &amp; Time</t>
  </si>
  <si>
    <t>Group Number</t>
  </si>
  <si>
    <t>Participant 1</t>
  </si>
  <si>
    <t>Dzanic Almin</t>
  </si>
  <si>
    <t>Participant 2</t>
  </si>
  <si>
    <t>Hauser Severin</t>
  </si>
  <si>
    <t>Participant 3</t>
  </si>
  <si>
    <t>Matuszyk Sebastian</t>
  </si>
  <si>
    <t>Participant 4</t>
  </si>
  <si>
    <t>Strenn Maximilian</t>
  </si>
  <si>
    <t>Participant 5</t>
  </si>
  <si>
    <t>Tykalsky Fabian</t>
  </si>
  <si>
    <t>Mentor</t>
  </si>
  <si>
    <t>Ing. Martin Docsek MSc</t>
  </si>
  <si>
    <t>List the Ids of the Requirements which are subject to the review</t>
  </si>
  <si>
    <t>Req ID</t>
  </si>
  <si>
    <t>short description [opt]</t>
  </si>
  <si>
    <t>Estimate [h]</t>
  </si>
  <si>
    <t>Real Efort [h]</t>
  </si>
  <si>
    <t>Delta [h]</t>
  </si>
  <si>
    <t>Passed</t>
  </si>
  <si>
    <t>failed</t>
  </si>
  <si>
    <t>remarks</t>
  </si>
  <si>
    <t>S4FT1</t>
  </si>
  <si>
    <t>Working card system</t>
  </si>
  <si>
    <t>x</t>
  </si>
  <si>
    <t>Der Aufwand war größer als erwartet</t>
  </si>
  <si>
    <t>S4FT2</t>
  </si>
  <si>
    <t>Pause menu bug fixing</t>
  </si>
  <si>
    <t xml:space="preserve">Probleme konnten schnell behoben werden </t>
  </si>
  <si>
    <t>S4FT3</t>
  </si>
  <si>
    <t>Improved options menu</t>
  </si>
  <si>
    <t>Durch Vorerfahrung war die Umsetzung relativ einfach</t>
  </si>
  <si>
    <t>S4AD1</t>
  </si>
  <si>
    <t>Ambient Sounds</t>
  </si>
  <si>
    <t>Alles ging gut wenige Probleme und Fehler</t>
  </si>
  <si>
    <t>S4AD2</t>
  </si>
  <si>
    <t>Enemy Chase Sound</t>
  </si>
  <si>
    <t>Probleme bei der Implementation</t>
  </si>
  <si>
    <t>S4AD3</t>
  </si>
  <si>
    <t>Enemy Steps</t>
  </si>
  <si>
    <t>Implementation anfangs schwieriger als gedacht, jedoch alles gut geschafft</t>
  </si>
  <si>
    <t>S4SH1</t>
  </si>
  <si>
    <t>Eingangshalle</t>
  </si>
  <si>
    <t>Kleine Platzierungsfehler, mussten nochmal überarbeitet werden</t>
  </si>
  <si>
    <t>S4SH2</t>
  </si>
  <si>
    <t>Turnsaal</t>
  </si>
  <si>
    <t>Erstes mal mit custom materials gearbeitet</t>
  </si>
  <si>
    <t>S4SH3</t>
  </si>
  <si>
    <t>Klassenraum 5</t>
  </si>
  <si>
    <t>Kopie von altem Klassenraum verwendet</t>
  </si>
  <si>
    <t>S4SH4</t>
  </si>
  <si>
    <t>Stockwerk -1</t>
  </si>
  <si>
    <t>Beleuchtung in eigenen Task verschoben</t>
  </si>
  <si>
    <t>S3SH1</t>
  </si>
  <si>
    <t>Aufzugsschaft inkl. Aufzug</t>
  </si>
  <si>
    <t>Aufzug und Kabel noch nicht fertig weil custom assets benötigt werden</t>
  </si>
  <si>
    <t>S4SM1</t>
  </si>
  <si>
    <t>Keycards erstellen</t>
  </si>
  <si>
    <t>Schnellere Implementierung in Unreal als im letzten Sprint</t>
  </si>
  <si>
    <t>S4SM2</t>
  </si>
  <si>
    <t>Objektplatzierung in Räumen</t>
  </si>
  <si>
    <t>Die Räume wurden noch nicht alle erstellt bzw. erst kurz vor Ende erstellt</t>
  </si>
  <si>
    <t>S3SM3</t>
  </si>
  <si>
    <t>Objekte hinzufügen</t>
  </si>
  <si>
    <t>Das Bathroom hat vom letzten Sprint gefehlt</t>
  </si>
  <si>
    <t>S4MS1</t>
  </si>
  <si>
    <t>Animationr/Rigging Pt3</t>
  </si>
  <si>
    <t>Mangelndes Zeitmanagement</t>
  </si>
  <si>
    <t>S4MS2</t>
  </si>
  <si>
    <t>Pathfinding/Collision</t>
  </si>
  <si>
    <t>Funktionen von NavMesh nicht umgesetzt</t>
  </si>
  <si>
    <t>S4MS3</t>
  </si>
  <si>
    <t>Enemy open door logic</t>
  </si>
  <si>
    <t>Implementation schwieriger als gedacht</t>
  </si>
  <si>
    <t>S4MS4</t>
  </si>
  <si>
    <t>Enemy lose sight logic</t>
  </si>
  <si>
    <t>Testing schwierig da Pathfinding Probleme</t>
  </si>
  <si>
    <t>Liked</t>
  </si>
  <si>
    <t>Learned</t>
  </si>
  <si>
    <t>Lacked</t>
  </si>
  <si>
    <t>Longed for</t>
  </si>
  <si>
    <t>Erfolgreiche Implementation der Steps und Ambient-Sounds</t>
  </si>
  <si>
    <t>Wie man neue Klassen erstellt und diese auch implementiert</t>
  </si>
  <si>
    <t>Fehlende Erfahrung im Enemy Blueprint</t>
  </si>
  <si>
    <t>Mehr Zeit für Feintuning und Problemlösung</t>
  </si>
  <si>
    <t>Erzielter Fortschritt</t>
  </si>
  <si>
    <t>Custom Materialien erstellen</t>
  </si>
  <si>
    <t>Kreativität bei umsetzen der Ideen</t>
  </si>
  <si>
    <t>Mehr vorgefertigte Assets für das Projekt</t>
  </si>
  <si>
    <t>Es gefiel mir, ein besseres Verständnis für BP zu erlernen</t>
  </si>
  <si>
    <t>Ich habe gelernt, BP-Objekte miteinander zu verbinden und korrekt in die Spielwelt einzusetzen</t>
  </si>
  <si>
    <t>Es fehlt mir noch an Wissen darüber, wie man Objekte erstellt und wie man mit Nodes arbeitet</t>
  </si>
  <si>
    <t>Mehr Zeit damit zu verbringen, selbst in Unreal Engine Objekte zu erstellen und zu verbinden</t>
  </si>
  <si>
    <t>Animationsanpassaung war einfacher durch Erfahrung der letzten Sprints</t>
  </si>
  <si>
    <t xml:space="preserve"> Besseres Verständnis in Unreal Engine5 Blueprints im Bezug auf Pathfinding und AI Movement</t>
  </si>
  <si>
    <t>Besseres Zeitmangement um die geplanten Features in der vorgegebenen Zeit umzusetzen</t>
  </si>
  <si>
    <t>Kenntniss über NavMesh</t>
  </si>
  <si>
    <t>Erfolgreiche Implementation des Card Scanners</t>
  </si>
  <si>
    <t>Wissen im Bereich Child-Parent Vererbung erweitert</t>
  </si>
  <si>
    <t>Fehlende Praxis im Umgang mit Photoshop</t>
  </si>
  <si>
    <t>Erfahrung im Bereich Vererbung zwischen einzelnen Klassen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</si>
</sst>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rgb="FF000000"/>
      <name val="Calibri"/>
      <family val="2"/>
    </font>
    <font>
      <sz val="11"/>
      <color rgb="FF000000"/>
      <name val="-Apple-System"/>
      <charset val="1"/>
    </font>
    <font>
      <b/>
      <sz val="12"/>
      <color rgb="FF000000"/>
      <name val="Calibri"/>
      <family val="2"/>
    </font>
    <font>
      <sz val="12"/>
      <color theme="1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2CC"/>
        <bgColor rgb="FF000000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5" fillId="5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5" fillId="5" borderId="0" xfId="0" applyFont="1" applyFill="1" applyAlignment="1">
      <alignment horizontal="center"/>
    </xf>
    <xf numFmtId="0" fontId="4" fillId="5" borderId="6" xfId="0" applyFont="1" applyFill="1" applyBorder="1" applyAlignment="1">
      <alignment horizontal="center"/>
    </xf>
    <xf numFmtId="14" fontId="4" fillId="5" borderId="8" xfId="0" applyNumberFormat="1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7" fillId="0" borderId="14" xfId="0" applyFont="1" applyBorder="1" applyAlignment="1">
      <alignment horizontal="center" vertical="center" wrapText="1"/>
    </xf>
    <xf numFmtId="0" fontId="6" fillId="0" borderId="5" xfId="0" applyFont="1" applyBorder="1" applyAlignment="1"/>
    <xf numFmtId="0" fontId="6" fillId="0" borderId="6" xfId="0" applyFont="1" applyBorder="1" applyAlignment="1"/>
    <xf numFmtId="0" fontId="6" fillId="0" borderId="7" xfId="0" applyFont="1" applyBorder="1" applyAlignment="1"/>
    <xf numFmtId="0" fontId="6" fillId="0" borderId="8" xfId="0" applyFont="1" applyBorder="1" applyAlignment="1"/>
    <xf numFmtId="0" fontId="6" fillId="0" borderId="3" xfId="0" applyFont="1" applyBorder="1" applyAlignment="1"/>
    <xf numFmtId="0" fontId="6" fillId="0" borderId="4" xfId="0" applyFont="1" applyBorder="1" applyAlignme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C726-37E9-451B-9308-D99ECF6E7468}">
  <dimension ref="A1:I41"/>
  <sheetViews>
    <sheetView tabSelected="1" topLeftCell="A23" workbookViewId="0">
      <selection activeCell="G36" sqref="G36"/>
    </sheetView>
  </sheetViews>
  <sheetFormatPr defaultColWidth="11.42578125" defaultRowHeight="15.75"/>
  <cols>
    <col min="1" max="1" width="8" style="2" customWidth="1"/>
    <col min="2" max="2" width="32.7109375" style="2" customWidth="1"/>
    <col min="3" max="3" width="27.42578125" style="2" customWidth="1"/>
    <col min="4" max="4" width="29.140625" style="2" customWidth="1"/>
    <col min="5" max="5" width="24.42578125" style="2" customWidth="1"/>
    <col min="6" max="6" width="23" style="2" customWidth="1"/>
    <col min="7" max="7" width="23.28515625" style="2" customWidth="1"/>
    <col min="8" max="8" width="37.7109375" style="2" customWidth="1"/>
    <col min="9" max="16384" width="11.42578125" style="2"/>
  </cols>
  <sheetData>
    <row r="1" spans="1:9">
      <c r="A1" s="22" t="s">
        <v>0</v>
      </c>
      <c r="B1" s="22"/>
      <c r="C1" s="22"/>
      <c r="D1" s="22"/>
      <c r="E1" s="22"/>
      <c r="F1" s="22"/>
      <c r="G1" s="22"/>
      <c r="H1" s="22"/>
      <c r="I1" s="22"/>
    </row>
    <row r="2" spans="1:9">
      <c r="A2" s="22"/>
      <c r="B2" s="22"/>
      <c r="C2" s="22"/>
      <c r="D2" s="22"/>
      <c r="E2" s="22"/>
      <c r="F2" s="22"/>
      <c r="G2" s="22"/>
      <c r="H2" s="22"/>
      <c r="I2" s="22"/>
    </row>
    <row r="3" spans="1:9" ht="26.25">
      <c r="A3" s="12"/>
      <c r="B3" s="12"/>
      <c r="C3" s="12"/>
      <c r="D3" s="12"/>
      <c r="E3" s="12"/>
      <c r="F3" s="12"/>
      <c r="G3" s="12"/>
      <c r="H3" s="12"/>
      <c r="I3" s="12"/>
    </row>
    <row r="4" spans="1:9">
      <c r="A4" s="29" t="s">
        <v>1</v>
      </c>
      <c r="B4" s="30"/>
      <c r="C4" s="24">
        <v>4</v>
      </c>
      <c r="D4" s="24"/>
      <c r="E4" s="24"/>
      <c r="F4" s="24"/>
      <c r="G4" s="24"/>
    </row>
    <row r="5" spans="1:9">
      <c r="A5" s="31" t="s">
        <v>2</v>
      </c>
      <c r="B5" s="32"/>
      <c r="C5" s="25">
        <v>46154</v>
      </c>
      <c r="D5" s="25"/>
      <c r="E5" s="25"/>
      <c r="F5" s="25"/>
      <c r="G5" s="25"/>
    </row>
    <row r="6" spans="1:9">
      <c r="A6" s="31" t="s">
        <v>3</v>
      </c>
      <c r="B6" s="32"/>
      <c r="C6" s="26">
        <v>35</v>
      </c>
      <c r="D6" s="26"/>
      <c r="E6" s="26"/>
      <c r="F6" s="26"/>
      <c r="G6" s="26"/>
    </row>
    <row r="7" spans="1:9">
      <c r="A7" s="31" t="s">
        <v>4</v>
      </c>
      <c r="B7" s="32"/>
      <c r="C7" s="27" t="s">
        <v>5</v>
      </c>
      <c r="D7" s="27"/>
      <c r="E7" s="27"/>
      <c r="F7" s="27"/>
      <c r="G7" s="27"/>
    </row>
    <row r="8" spans="1:9">
      <c r="A8" s="31" t="s">
        <v>6</v>
      </c>
      <c r="B8" s="32"/>
      <c r="C8" s="23" t="s">
        <v>7</v>
      </c>
      <c r="D8" s="23"/>
      <c r="E8" s="23"/>
      <c r="F8" s="23"/>
      <c r="G8" s="23"/>
    </row>
    <row r="9" spans="1:9">
      <c r="A9" s="31" t="s">
        <v>8</v>
      </c>
      <c r="B9" s="32"/>
      <c r="C9" s="23" t="s">
        <v>9</v>
      </c>
      <c r="D9" s="23"/>
      <c r="E9" s="23"/>
      <c r="F9" s="23"/>
      <c r="G9" s="23"/>
    </row>
    <row r="10" spans="1:9">
      <c r="A10" s="31" t="s">
        <v>10</v>
      </c>
      <c r="B10" s="32"/>
      <c r="C10" s="23" t="s">
        <v>11</v>
      </c>
      <c r="D10" s="23"/>
      <c r="E10" s="23"/>
      <c r="F10" s="23"/>
      <c r="G10" s="23"/>
    </row>
    <row r="11" spans="1:9">
      <c r="A11" s="31" t="s">
        <v>12</v>
      </c>
      <c r="B11" s="32"/>
      <c r="C11" s="21" t="s">
        <v>13</v>
      </c>
      <c r="D11" s="21"/>
      <c r="E11" s="21"/>
      <c r="F11" s="21"/>
      <c r="G11" s="21"/>
    </row>
    <row r="12" spans="1:9">
      <c r="A12" s="33" t="s">
        <v>14</v>
      </c>
      <c r="B12" s="34"/>
      <c r="C12" s="19" t="s">
        <v>15</v>
      </c>
      <c r="D12" s="19"/>
      <c r="E12" s="19"/>
      <c r="F12" s="19"/>
      <c r="G12" s="19"/>
    </row>
    <row r="14" spans="1:9">
      <c r="A14" s="20" t="s">
        <v>16</v>
      </c>
      <c r="B14" s="20"/>
      <c r="C14" s="20"/>
      <c r="D14" s="20"/>
      <c r="E14" s="20"/>
      <c r="F14" s="20"/>
      <c r="G14" s="20"/>
      <c r="H14" s="20"/>
    </row>
    <row r="15" spans="1:9">
      <c r="A15" s="1" t="s">
        <v>17</v>
      </c>
      <c r="B15" s="1" t="s">
        <v>18</v>
      </c>
      <c r="C15" s="1" t="s">
        <v>19</v>
      </c>
      <c r="D15" s="1" t="s">
        <v>20</v>
      </c>
      <c r="E15" s="1" t="s">
        <v>21</v>
      </c>
      <c r="F15" s="1" t="s">
        <v>22</v>
      </c>
      <c r="G15" s="1" t="s">
        <v>23</v>
      </c>
      <c r="H15" s="1" t="s">
        <v>24</v>
      </c>
    </row>
    <row r="16" spans="1:9" ht="50.25" customHeight="1">
      <c r="A16" s="15" t="s">
        <v>25</v>
      </c>
      <c r="B16" s="15" t="s">
        <v>26</v>
      </c>
      <c r="C16" s="15">
        <v>2</v>
      </c>
      <c r="D16" s="15">
        <v>4</v>
      </c>
      <c r="E16" s="5">
        <f>D16-C16</f>
        <v>2</v>
      </c>
      <c r="F16" s="13" t="s">
        <v>27</v>
      </c>
      <c r="G16" s="14"/>
      <c r="H16" s="16" t="s">
        <v>28</v>
      </c>
    </row>
    <row r="17" spans="1:8" ht="50.25" customHeight="1">
      <c r="A17" s="15" t="s">
        <v>29</v>
      </c>
      <c r="B17" s="15" t="s">
        <v>30</v>
      </c>
      <c r="C17" s="15">
        <v>1</v>
      </c>
      <c r="D17" s="15">
        <v>1</v>
      </c>
      <c r="E17" s="5">
        <f t="shared" ref="E17:E33" si="0">D17-C17</f>
        <v>0</v>
      </c>
      <c r="F17" s="13" t="s">
        <v>27</v>
      </c>
      <c r="G17" s="14"/>
      <c r="H17" s="16" t="s">
        <v>31</v>
      </c>
    </row>
    <row r="18" spans="1:8" ht="50.25" customHeight="1">
      <c r="A18" s="15" t="s">
        <v>32</v>
      </c>
      <c r="B18" s="15" t="s">
        <v>33</v>
      </c>
      <c r="C18" s="15">
        <v>1</v>
      </c>
      <c r="D18" s="15">
        <v>0.5</v>
      </c>
      <c r="E18" s="5">
        <f t="shared" si="0"/>
        <v>-0.5</v>
      </c>
      <c r="F18" s="13" t="s">
        <v>27</v>
      </c>
      <c r="G18" s="14"/>
      <c r="H18" s="16" t="s">
        <v>34</v>
      </c>
    </row>
    <row r="19" spans="1:8" ht="50.25" customHeight="1">
      <c r="A19" s="15" t="s">
        <v>35</v>
      </c>
      <c r="B19" s="15" t="s">
        <v>36</v>
      </c>
      <c r="C19" s="15">
        <v>5</v>
      </c>
      <c r="D19" s="15">
        <v>4</v>
      </c>
      <c r="E19" s="5">
        <f t="shared" si="0"/>
        <v>-1</v>
      </c>
      <c r="F19" s="13" t="s">
        <v>27</v>
      </c>
      <c r="G19" s="14"/>
      <c r="H19" s="16" t="s">
        <v>37</v>
      </c>
    </row>
    <row r="20" spans="1:8" ht="50.25" customHeight="1">
      <c r="A20" s="15" t="s">
        <v>38</v>
      </c>
      <c r="B20" s="16" t="s">
        <v>39</v>
      </c>
      <c r="C20" s="15">
        <v>2</v>
      </c>
      <c r="D20" s="15">
        <v>3</v>
      </c>
      <c r="E20" s="5">
        <f t="shared" si="0"/>
        <v>1</v>
      </c>
      <c r="F20" s="13"/>
      <c r="G20" s="14" t="s">
        <v>27</v>
      </c>
      <c r="H20" s="16" t="s">
        <v>40</v>
      </c>
    </row>
    <row r="21" spans="1:8" ht="50.25" customHeight="1">
      <c r="A21" s="15" t="s">
        <v>41</v>
      </c>
      <c r="B21" s="15" t="s">
        <v>42</v>
      </c>
      <c r="C21" s="15">
        <v>3</v>
      </c>
      <c r="D21" s="15">
        <v>3</v>
      </c>
      <c r="E21" s="5">
        <f t="shared" si="0"/>
        <v>0</v>
      </c>
      <c r="F21" s="13" t="s">
        <v>27</v>
      </c>
      <c r="G21" s="14"/>
      <c r="H21" s="16" t="s">
        <v>43</v>
      </c>
    </row>
    <row r="22" spans="1:8" ht="50.25" customHeight="1">
      <c r="A22" s="15" t="s">
        <v>44</v>
      </c>
      <c r="B22" s="15" t="s">
        <v>45</v>
      </c>
      <c r="C22" s="15">
        <v>4</v>
      </c>
      <c r="D22" s="15">
        <v>3</v>
      </c>
      <c r="E22" s="5">
        <f t="shared" si="0"/>
        <v>-1</v>
      </c>
      <c r="F22" s="13" t="s">
        <v>27</v>
      </c>
      <c r="G22" s="14"/>
      <c r="H22" s="16" t="s">
        <v>46</v>
      </c>
    </row>
    <row r="23" spans="1:8" ht="50.25" customHeight="1">
      <c r="A23" s="15" t="s">
        <v>47</v>
      </c>
      <c r="B23" s="15" t="s">
        <v>48</v>
      </c>
      <c r="C23" s="15">
        <v>3</v>
      </c>
      <c r="D23" s="15">
        <v>3</v>
      </c>
      <c r="E23" s="5">
        <f t="shared" si="0"/>
        <v>0</v>
      </c>
      <c r="F23" s="13" t="s">
        <v>27</v>
      </c>
      <c r="G23" s="14"/>
      <c r="H23" s="16" t="s">
        <v>49</v>
      </c>
    </row>
    <row r="24" spans="1:8" ht="50.25" customHeight="1">
      <c r="A24" s="15" t="s">
        <v>50</v>
      </c>
      <c r="B24" s="15" t="s">
        <v>51</v>
      </c>
      <c r="C24" s="15">
        <v>0.5</v>
      </c>
      <c r="D24" s="15">
        <v>0.5</v>
      </c>
      <c r="E24" s="5">
        <f t="shared" si="0"/>
        <v>0</v>
      </c>
      <c r="F24" s="13" t="s">
        <v>27</v>
      </c>
      <c r="G24" s="14"/>
      <c r="H24" s="16" t="s">
        <v>52</v>
      </c>
    </row>
    <row r="25" spans="1:8" ht="50.25" customHeight="1">
      <c r="A25" s="15" t="s">
        <v>53</v>
      </c>
      <c r="B25" s="15" t="s">
        <v>54</v>
      </c>
      <c r="C25" s="15">
        <v>3</v>
      </c>
      <c r="D25" s="15">
        <v>2</v>
      </c>
      <c r="E25" s="5">
        <f t="shared" si="0"/>
        <v>-1</v>
      </c>
      <c r="F25" s="13" t="s">
        <v>27</v>
      </c>
      <c r="G25" s="14"/>
      <c r="H25" s="16" t="s">
        <v>55</v>
      </c>
    </row>
    <row r="26" spans="1:8" ht="50.25" customHeight="1">
      <c r="A26" s="15" t="s">
        <v>56</v>
      </c>
      <c r="B26" s="15" t="s">
        <v>57</v>
      </c>
      <c r="C26" s="15">
        <v>4</v>
      </c>
      <c r="D26" s="15">
        <v>3</v>
      </c>
      <c r="E26" s="5">
        <f t="shared" si="0"/>
        <v>-1</v>
      </c>
      <c r="F26" s="13"/>
      <c r="G26" s="14" t="s">
        <v>27</v>
      </c>
      <c r="H26" s="16" t="s">
        <v>58</v>
      </c>
    </row>
    <row r="27" spans="1:8" ht="50.25" customHeight="1">
      <c r="A27" s="15" t="s">
        <v>59</v>
      </c>
      <c r="B27" s="15" t="s">
        <v>60</v>
      </c>
      <c r="C27" s="15">
        <v>2</v>
      </c>
      <c r="D27" s="15">
        <v>3</v>
      </c>
      <c r="E27" s="5">
        <f t="shared" si="0"/>
        <v>1</v>
      </c>
      <c r="F27" s="13" t="s">
        <v>27</v>
      </c>
      <c r="G27" s="14"/>
      <c r="H27" s="16" t="s">
        <v>61</v>
      </c>
    </row>
    <row r="28" spans="1:8" ht="50.25" customHeight="1">
      <c r="A28" s="15" t="s">
        <v>62</v>
      </c>
      <c r="B28" s="15" t="s">
        <v>63</v>
      </c>
      <c r="C28" s="15">
        <v>3</v>
      </c>
      <c r="D28" s="15">
        <v>4</v>
      </c>
      <c r="E28" s="5">
        <f t="shared" si="0"/>
        <v>1</v>
      </c>
      <c r="F28" s="13"/>
      <c r="G28" s="14" t="s">
        <v>27</v>
      </c>
      <c r="H28" s="16" t="s">
        <v>64</v>
      </c>
    </row>
    <row r="29" spans="1:8" ht="50.25" customHeight="1">
      <c r="A29" s="15" t="s">
        <v>65</v>
      </c>
      <c r="B29" s="15" t="s">
        <v>66</v>
      </c>
      <c r="C29" s="15">
        <v>4</v>
      </c>
      <c r="D29" s="15">
        <v>5</v>
      </c>
      <c r="E29" s="5">
        <f t="shared" si="0"/>
        <v>1</v>
      </c>
      <c r="F29" s="13" t="s">
        <v>27</v>
      </c>
      <c r="G29" s="14"/>
      <c r="H29" s="16" t="s">
        <v>67</v>
      </c>
    </row>
    <row r="30" spans="1:8" ht="50.25" customHeight="1">
      <c r="A30" s="15" t="s">
        <v>68</v>
      </c>
      <c r="B30" s="15" t="s">
        <v>69</v>
      </c>
      <c r="C30" s="15">
        <v>1.5</v>
      </c>
      <c r="D30" s="15">
        <v>0.5</v>
      </c>
      <c r="E30" s="5">
        <f t="shared" si="0"/>
        <v>-1</v>
      </c>
      <c r="F30" s="13"/>
      <c r="G30" s="14" t="s">
        <v>27</v>
      </c>
      <c r="H30" s="16" t="s">
        <v>70</v>
      </c>
    </row>
    <row r="31" spans="1:8" ht="50.25" customHeight="1">
      <c r="A31" s="15" t="s">
        <v>71</v>
      </c>
      <c r="B31" s="15" t="s">
        <v>72</v>
      </c>
      <c r="C31" s="15">
        <v>2</v>
      </c>
      <c r="D31" s="15">
        <v>2.5</v>
      </c>
      <c r="E31" s="5">
        <f t="shared" si="0"/>
        <v>0.5</v>
      </c>
      <c r="F31" s="13"/>
      <c r="G31" s="14" t="s">
        <v>27</v>
      </c>
      <c r="H31" s="16" t="s">
        <v>73</v>
      </c>
    </row>
    <row r="32" spans="1:8" ht="50.25" customHeight="1">
      <c r="A32" s="15" t="s">
        <v>74</v>
      </c>
      <c r="B32" s="15" t="s">
        <v>75</v>
      </c>
      <c r="C32" s="15">
        <v>1</v>
      </c>
      <c r="D32" s="15">
        <v>1</v>
      </c>
      <c r="E32" s="5">
        <f t="shared" si="0"/>
        <v>0</v>
      </c>
      <c r="F32" s="13"/>
      <c r="G32" s="14" t="s">
        <v>27</v>
      </c>
      <c r="H32" s="16" t="s">
        <v>76</v>
      </c>
    </row>
    <row r="33" spans="1:8" ht="50.25" customHeight="1">
      <c r="A33" s="15" t="s">
        <v>77</v>
      </c>
      <c r="B33" s="15" t="s">
        <v>78</v>
      </c>
      <c r="C33" s="15">
        <v>1.5</v>
      </c>
      <c r="D33" s="15">
        <v>2</v>
      </c>
      <c r="E33" s="5">
        <f t="shared" si="0"/>
        <v>0.5</v>
      </c>
      <c r="F33" s="13" t="s">
        <v>27</v>
      </c>
      <c r="G33" s="14"/>
      <c r="H33" s="16" t="s">
        <v>79</v>
      </c>
    </row>
    <row r="34" spans="1:8">
      <c r="A34" s="3">
        <f>COUNT(A16:A25)</f>
        <v>0</v>
      </c>
      <c r="B34" s="3"/>
      <c r="C34" s="3"/>
      <c r="D34" s="3"/>
      <c r="E34" s="3">
        <f>SUM(E16:E25)</f>
        <v>-0.5</v>
      </c>
      <c r="F34" s="3">
        <f>COUNT(F16:F25)</f>
        <v>0</v>
      </c>
      <c r="G34" s="3">
        <f>COUNT(G16:G25)</f>
        <v>0</v>
      </c>
      <c r="H34" s="3"/>
    </row>
    <row r="36" spans="1:8" ht="24.75" customHeight="1">
      <c r="B36" s="4"/>
      <c r="C36" s="9" t="s">
        <v>80</v>
      </c>
      <c r="D36" s="9" t="s">
        <v>81</v>
      </c>
      <c r="E36" s="9" t="s">
        <v>82</v>
      </c>
      <c r="F36" s="10" t="s">
        <v>83</v>
      </c>
    </row>
    <row r="37" spans="1:8" ht="60" customHeight="1">
      <c r="B37" s="7" t="s">
        <v>5</v>
      </c>
      <c r="C37" s="17" t="s">
        <v>84</v>
      </c>
      <c r="D37" s="17" t="s">
        <v>85</v>
      </c>
      <c r="E37" s="17" t="s">
        <v>86</v>
      </c>
      <c r="F37" s="18" t="s">
        <v>87</v>
      </c>
    </row>
    <row r="38" spans="1:8" ht="53.25" customHeight="1">
      <c r="A38"/>
      <c r="B38" s="7" t="s">
        <v>7</v>
      </c>
      <c r="C38" s="17" t="s">
        <v>88</v>
      </c>
      <c r="D38" s="17" t="s">
        <v>89</v>
      </c>
      <c r="E38" s="17" t="s">
        <v>90</v>
      </c>
      <c r="F38" s="18" t="s">
        <v>91</v>
      </c>
    </row>
    <row r="39" spans="1:8" ht="96" customHeight="1">
      <c r="B39" s="7" t="s">
        <v>9</v>
      </c>
      <c r="C39" s="17" t="s">
        <v>92</v>
      </c>
      <c r="D39" s="17" t="s">
        <v>93</v>
      </c>
      <c r="E39" s="17" t="s">
        <v>94</v>
      </c>
      <c r="F39" s="18" t="s">
        <v>95</v>
      </c>
    </row>
    <row r="40" spans="1:8" ht="90.75" customHeight="1">
      <c r="B40" s="7" t="s">
        <v>11</v>
      </c>
      <c r="C40" s="17" t="s">
        <v>96</v>
      </c>
      <c r="D40" s="17" t="s">
        <v>97</v>
      </c>
      <c r="E40" s="17" t="s">
        <v>98</v>
      </c>
      <c r="F40" s="28" t="s">
        <v>99</v>
      </c>
    </row>
    <row r="41" spans="1:8" ht="60" customHeight="1">
      <c r="B41" s="8" t="s">
        <v>13</v>
      </c>
      <c r="C41" s="6" t="s">
        <v>100</v>
      </c>
      <c r="D41" s="6" t="s">
        <v>101</v>
      </c>
      <c r="E41" s="6" t="s">
        <v>102</v>
      </c>
      <c r="F41" s="11" t="s">
        <v>103</v>
      </c>
    </row>
  </sheetData>
  <mergeCells count="20">
    <mergeCell ref="A1:I2"/>
    <mergeCell ref="C9:G9"/>
    <mergeCell ref="C10:G10"/>
    <mergeCell ref="A4:B4"/>
    <mergeCell ref="A5:B5"/>
    <mergeCell ref="A6:B6"/>
    <mergeCell ref="A7:B7"/>
    <mergeCell ref="A8:B8"/>
    <mergeCell ref="A9:B9"/>
    <mergeCell ref="C4:G4"/>
    <mergeCell ref="C5:G5"/>
    <mergeCell ref="C6:G6"/>
    <mergeCell ref="C7:G7"/>
    <mergeCell ref="C8:G8"/>
    <mergeCell ref="C12:G12"/>
    <mergeCell ref="A10:B10"/>
    <mergeCell ref="A11:B11"/>
    <mergeCell ref="A12:B12"/>
    <mergeCell ref="A14:H14"/>
    <mergeCell ref="C11:G11"/>
  </mergeCells>
  <pageMargins left="0.7" right="0.7" top="0.78740157499999996" bottom="0.78740157499999996" header="0.3" footer="0.3"/>
  <pageSetup paperSize="9" scale="60" fitToWidth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florian</dc:creator>
  <cp:keywords/>
  <dc:description/>
  <cp:lastModifiedBy/>
  <cp:revision/>
  <dcterms:created xsi:type="dcterms:W3CDTF">2021-01-16T21:28:18Z</dcterms:created>
  <dcterms:modified xsi:type="dcterms:W3CDTF">2026-05-11T19:24:17Z</dcterms:modified>
  <cp:category/>
  <cp:contentStatus/>
</cp:coreProperties>
</file>